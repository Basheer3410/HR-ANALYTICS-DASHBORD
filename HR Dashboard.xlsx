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OneDrive\Documents\SEM1\EFM\"/>
    </mc:Choice>
  </mc:AlternateContent>
  <xr:revisionPtr revIDLastSave="0" documentId="13_ncr:1_{E2DDC70D-E956-4EB9-B65B-C5B42FE66BE9}" xr6:coauthVersionLast="47" xr6:coauthVersionMax="47" xr10:uidLastSave="{00000000-0000-0000-0000-000000000000}"/>
  <bookViews>
    <workbookView xWindow="-108" yWindow="-108" windowWidth="23256" windowHeight="13176" activeTab="2" xr2:uid="{00000000-000D-0000-FFFF-FFFF00000000}"/>
  </bookViews>
  <sheets>
    <sheet name="HR_Data" sheetId="1" r:id="rId1"/>
    <sheet name="Hiring Source" sheetId="5" r:id="rId2"/>
    <sheet name="Gender" sheetId="6" r:id="rId3"/>
    <sheet name="Dept" sheetId="7" r:id="rId4"/>
    <sheet name="Age Group" sheetId="4" r:id="rId5"/>
    <sheet name="Dashboard" sheetId="8" r:id="rId6"/>
  </sheets>
  <definedNames>
    <definedName name="Slicer_Age_Band">#N/A</definedName>
    <definedName name="Slicer_Department">#N/A</definedName>
    <definedName name="Slicer_Gender">#N/A</definedName>
    <definedName name="Slicer_Hiring_Sour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alcChain>
</file>

<file path=xl/sharedStrings.xml><?xml version="1.0" encoding="utf-8"?>
<sst xmlns="http://schemas.openxmlformats.org/spreadsheetml/2006/main" count="218" uniqueCount="95">
  <si>
    <t>Employee ID</t>
  </si>
  <si>
    <t>Name</t>
  </si>
  <si>
    <t>Age</t>
  </si>
  <si>
    <t>Gender</t>
  </si>
  <si>
    <t>Department</t>
  </si>
  <si>
    <t>Hiring Source</t>
  </si>
  <si>
    <t>Date of Joining</t>
  </si>
  <si>
    <t>Location</t>
  </si>
  <si>
    <t>Experience (Years)</t>
  </si>
  <si>
    <t>Arjun Rao</t>
  </si>
  <si>
    <t>Male</t>
  </si>
  <si>
    <t>Marketing</t>
  </si>
  <si>
    <t>Job Portal</t>
  </si>
  <si>
    <t>2018-11-09</t>
  </si>
  <si>
    <t>Hyderabad</t>
  </si>
  <si>
    <t>Suma Iyer</t>
  </si>
  <si>
    <t>Female</t>
  </si>
  <si>
    <t>IT</t>
  </si>
  <si>
    <t>2021-08-29</t>
  </si>
  <si>
    <t>Delhi</t>
  </si>
  <si>
    <t>Ravi Kumar</t>
  </si>
  <si>
    <t>Operations</t>
  </si>
  <si>
    <t>Walk-in</t>
  </si>
  <si>
    <t>2024-07-21</t>
  </si>
  <si>
    <t>Chennai</t>
  </si>
  <si>
    <t>Meera Joshi</t>
  </si>
  <si>
    <t>2022-06-10</t>
  </si>
  <si>
    <t>Mumbai</t>
  </si>
  <si>
    <t>Imran Shaikh</t>
  </si>
  <si>
    <t>Company Website</t>
  </si>
  <si>
    <t>2023-09-16</t>
  </si>
  <si>
    <t>Anjali Menon</t>
  </si>
  <si>
    <t>2022-08-07</t>
  </si>
  <si>
    <t>Karan Desai</t>
  </si>
  <si>
    <t>HR</t>
  </si>
  <si>
    <t>Referral</t>
  </si>
  <si>
    <t>2022-02-01</t>
  </si>
  <si>
    <t>Bangalore</t>
  </si>
  <si>
    <t>Pooja Verma</t>
  </si>
  <si>
    <t>Finance</t>
  </si>
  <si>
    <t>2022-04-11</t>
  </si>
  <si>
    <t>Rahul Jain</t>
  </si>
  <si>
    <t>2021-12-20</t>
  </si>
  <si>
    <t>Divya Sinha</t>
  </si>
  <si>
    <t>2022-03-31</t>
  </si>
  <si>
    <t>Pune</t>
  </si>
  <si>
    <t>Vikram Patel</t>
  </si>
  <si>
    <t>Campus Hiring</t>
  </si>
  <si>
    <t>2023-07-27</t>
  </si>
  <si>
    <t>Nisha Roy</t>
  </si>
  <si>
    <t>2023-08-15</t>
  </si>
  <si>
    <t>Tarun Bhatia</t>
  </si>
  <si>
    <t>2020-10-11</t>
  </si>
  <si>
    <t>Rekha Sharma</t>
  </si>
  <si>
    <t>2020-05-03</t>
  </si>
  <si>
    <t>Zaid Khan</t>
  </si>
  <si>
    <t>2018-05-17</t>
  </si>
  <si>
    <t>Sneha Reddy</t>
  </si>
  <si>
    <t>2020-05-23</t>
  </si>
  <si>
    <t>Gaurav Mehta</t>
  </si>
  <si>
    <t>2024-01-21</t>
  </si>
  <si>
    <t>Lakshmi Nair</t>
  </si>
  <si>
    <t>2024-05-18</t>
  </si>
  <si>
    <t>Deepak Verma</t>
  </si>
  <si>
    <t>2023-05-24</t>
  </si>
  <si>
    <t>Ishita Das</t>
  </si>
  <si>
    <t>2020-10-05</t>
  </si>
  <si>
    <t>Ajay Prasad</t>
  </si>
  <si>
    <t>2019-10-12</t>
  </si>
  <si>
    <t>Fatima Noor</t>
  </si>
  <si>
    <t>2024-08-10</t>
  </si>
  <si>
    <t>Vivek Anand</t>
  </si>
  <si>
    <t>2023-04-27</t>
  </si>
  <si>
    <t>Kavya Shetty</t>
  </si>
  <si>
    <t>2024-10-21</t>
  </si>
  <si>
    <t>Rohan Malhotra</t>
  </si>
  <si>
    <t>2024-11-04</t>
  </si>
  <si>
    <t>Preeti Agarwal</t>
  </si>
  <si>
    <t>2019-04-10</t>
  </si>
  <si>
    <t>Siddharth Bose</t>
  </si>
  <si>
    <t>2024-01-15</t>
  </si>
  <si>
    <t>Neha Kapoor</t>
  </si>
  <si>
    <t>2021-07-19</t>
  </si>
  <si>
    <t>Aamir Hussain</t>
  </si>
  <si>
    <t>2018-10-04</t>
  </si>
  <si>
    <t>Ritu Sen</t>
  </si>
  <si>
    <t>2022-07-14</t>
  </si>
  <si>
    <t>Row Labels</t>
  </si>
  <si>
    <t>Grand Total</t>
  </si>
  <si>
    <t>Age Band</t>
  </si>
  <si>
    <t>&lt;25</t>
  </si>
  <si>
    <t>&gt;40</t>
  </si>
  <si>
    <t>25-30</t>
  </si>
  <si>
    <t>31-40</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</si>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</sst>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1" xfId="0" applyBorder="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0"/>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Hiring</a:t>
            </a:r>
            <a:r>
              <a:rPr lang="en-US" baseline="0">
                <a:solidFill>
                  <a:srgbClr val="FFFF00"/>
                </a:solidFill>
              </a:rPr>
              <a:t> Source Vs Number of Employees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'Hiring Source'!$B$3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E2-417E-863B-EE0B653CB8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E2-417E-863B-EE0B653CB8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E2-417E-863B-EE0B653CB8E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E2-417E-863B-EE0B653CB8E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E2-417E-863B-EE0B653CB8E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Source'!$A$4:$A$9</c:f>
              <c:strCache>
                <c:ptCount val="5"/>
                <c:pt idx="0">
                  <c:v>Campus Hiring</c:v>
                </c:pt>
                <c:pt idx="1">
                  <c:v>Company Website</c:v>
                </c:pt>
                <c:pt idx="2">
                  <c:v>Job Portal</c:v>
                </c:pt>
                <c:pt idx="3">
                  <c:v>Referral</c:v>
                </c:pt>
                <c:pt idx="4">
                  <c:v>Walk-in</c:v>
                </c:pt>
              </c:strCache>
            </c:strRef>
          </c:cat>
          <c:val>
            <c:numRef>
              <c:f>'Hiring Source'!$B$4:$B$9</c:f>
              <c:numCache>
                <c:formatCode>General</c:formatCode>
                <c:ptCount val="5"/>
                <c:pt idx="0">
                  <c:v>4</c:v>
                </c:pt>
                <c:pt idx="1">
                  <c:v>5</c:v>
                </c:pt>
                <c:pt idx="2">
                  <c:v>8</c:v>
                </c:pt>
                <c:pt idx="3">
                  <c:v>6</c:v>
                </c:pt>
                <c:pt idx="4">
                  <c:v>7</c:v>
                </c:pt>
              </c:numCache>
            </c:numRef>
          </c:val>
          <c:extLst>
            <c:ext xmlns:c16="http://schemas.microsoft.com/office/drawing/2014/chart" uri="{C3380CC4-5D6E-409C-BE32-E72D297353CC}">
              <c16:uniqueId val="{00000000-01B4-42FE-AEBD-5B21B7A2854A}"/>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DF2-4705-B95E-2D8E479D917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DF2-4705-B95E-2D8E479D91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0-6FA4-46CC-BCB6-7B6CC27BF054}"/>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a:t>
            </a:r>
            <a:r>
              <a:rPr lang="en-US" baseline="0"/>
              <a:t>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Dept!$B$3</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0-78C7-40D4-B1F9-59CB85EACAC9}"/>
            </c:ext>
          </c:extLst>
        </c:ser>
        <c:dLbls>
          <c:showLegendKey val="0"/>
          <c:showVal val="0"/>
          <c:showCatName val="0"/>
          <c:showSerName val="0"/>
          <c:showPercent val="0"/>
          <c:showBubbleSize val="0"/>
        </c:dLbls>
        <c:gapWidth val="115"/>
        <c:overlap val="-20"/>
        <c:axId val="1367811087"/>
        <c:axId val="1367809647"/>
      </c:barChart>
      <c:catAx>
        <c:axId val="136781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8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Group Vs Number of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'Age Group'!$B$3</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0-6C24-458B-9218-14E9BBC68FC9}"/>
            </c:ext>
          </c:extLst>
        </c:ser>
        <c:dLbls>
          <c:showLegendKey val="0"/>
          <c:showVal val="0"/>
          <c:showCatName val="0"/>
          <c:showSerName val="0"/>
          <c:showPercent val="0"/>
          <c:showBubbleSize val="0"/>
        </c:dLbls>
        <c:gapWidth val="100"/>
        <c:overlap val="-24"/>
        <c:axId val="1300755215"/>
        <c:axId val="1300752815"/>
      </c:barChart>
      <c:catAx>
        <c:axId val="130075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1"/>
        <c:axPos val="l"/>
        <c:numFmt formatCode="General" sourceLinked="1"/>
        <c:majorTickMark val="none"/>
        <c:minorTickMark val="none"/>
        <c:tickLblPos val="nextTo"/>
        <c:crossAx val="130075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Age</a:t>
            </a:r>
            <a:r>
              <a:rPr lang="en-US" sz="1200" baseline="0"/>
              <a:t> Group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0-A2CF-400B-B39F-B417691351E8}"/>
            </c:ext>
          </c:extLst>
        </c:ser>
        <c:dLbls>
          <c:showLegendKey val="0"/>
          <c:showVal val="0"/>
          <c:showCatName val="0"/>
          <c:showSerName val="0"/>
          <c:showPercent val="0"/>
          <c:showBubbleSize val="0"/>
        </c:dLbls>
        <c:gapWidth val="100"/>
        <c:overlap val="-24"/>
        <c:axId val="1300755215"/>
        <c:axId val="1300752815"/>
      </c:barChart>
      <c:catAx>
        <c:axId val="130075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1"/>
        <c:axPos val="l"/>
        <c:numFmt formatCode="General" sourceLinked="1"/>
        <c:majorTickMark val="none"/>
        <c:minorTickMark val="none"/>
        <c:tickLblPos val="nextTo"/>
        <c:crossAx val="130075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Department</a:t>
            </a:r>
            <a:r>
              <a:rPr lang="en-US" sz="1200" baseline="0"/>
              <a:t>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0-0C87-495C-9307-E85811274123}"/>
            </c:ext>
          </c:extLst>
        </c:ser>
        <c:dLbls>
          <c:showLegendKey val="0"/>
          <c:showVal val="0"/>
          <c:showCatName val="0"/>
          <c:showSerName val="0"/>
          <c:showPercent val="0"/>
          <c:showBubbleSize val="0"/>
        </c:dLbls>
        <c:gapWidth val="115"/>
        <c:overlap val="-20"/>
        <c:axId val="1367811087"/>
        <c:axId val="1367809647"/>
      </c:barChart>
      <c:catAx>
        <c:axId val="136781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1"/>
        <c:axPos val="b"/>
        <c:numFmt formatCode="General" sourceLinked="1"/>
        <c:majorTickMark val="none"/>
        <c:minorTickMark val="none"/>
        <c:tickLblPos val="nextTo"/>
        <c:crossAx val="13678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3"/>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Hiring</a:t>
            </a:r>
            <a:r>
              <a:rPr lang="en-US" baseline="0">
                <a:solidFill>
                  <a:srgbClr val="FFFF00"/>
                </a:solidFill>
              </a:rPr>
              <a:t> Source Vs Number of Employees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'Hiring Source'!$B$3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31-4C4B-9AC7-A0A19981318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31-4C4B-9AC7-A0A19981318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931-4C4B-9AC7-A0A19981318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931-4C4B-9AC7-A0A19981318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931-4C4B-9AC7-A0A19981318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Source'!$A$4:$A$9</c:f>
              <c:strCache>
                <c:ptCount val="5"/>
                <c:pt idx="0">
                  <c:v>Campus Hiring</c:v>
                </c:pt>
                <c:pt idx="1">
                  <c:v>Company Website</c:v>
                </c:pt>
                <c:pt idx="2">
                  <c:v>Job Portal</c:v>
                </c:pt>
                <c:pt idx="3">
                  <c:v>Referral</c:v>
                </c:pt>
                <c:pt idx="4">
                  <c:v>Walk-in</c:v>
                </c:pt>
              </c:strCache>
            </c:strRef>
          </c:cat>
          <c:val>
            <c:numRef>
              <c:f>'Hiring Source'!$B$4:$B$9</c:f>
              <c:numCache>
                <c:formatCode>General</c:formatCode>
                <c:ptCount val="5"/>
                <c:pt idx="0">
                  <c:v>4</c:v>
                </c:pt>
                <c:pt idx="1">
                  <c:v>5</c:v>
                </c:pt>
                <c:pt idx="2">
                  <c:v>8</c:v>
                </c:pt>
                <c:pt idx="3">
                  <c:v>6</c:v>
                </c:pt>
                <c:pt idx="4">
                  <c:v>7</c:v>
                </c:pt>
              </c:numCache>
            </c:numRef>
          </c:val>
          <c:extLst>
            <c:ext xmlns:c16="http://schemas.microsoft.com/office/drawing/2014/chart" uri="{C3380CC4-5D6E-409C-BE32-E72D297353CC}">
              <c16:uniqueId val="{0000000A-B931-4C4B-9AC7-A0A199813185}"/>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Gender</a:t>
            </a:r>
            <a:r>
              <a:rPr lang="en-US" sz="1200" baseline="0"/>
              <a:t> Vs Number of Employees</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E7-42ED-A680-F9453FA7070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E7-42ED-A680-F9453FA707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4-03E7-42ED-A680-F9453FA70706}"/>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556260</xdr:colOff>
      <xdr:row>0</xdr:row>
      <xdr:rowOff>167640</xdr:rowOff>
    </xdr:from>
    <xdr:to>
      <xdr:col>12</xdr:col>
      <xdr:colOff>563880</xdr:colOff>
      <xdr:row>21</xdr:row>
      <xdr:rowOff>167640</xdr:rowOff>
    </xdr:to>
    <xdr:graphicFrame macro="">
      <xdr:nvGraphicFramePr>
        <xdr:cNvPr id="2" name="Chart 1">
          <a:extLst>
            <a:ext uri="{FF2B5EF4-FFF2-40B4-BE49-F238E27FC236}">
              <a16:creationId xmlns:a16="http://schemas.microsoft.com/office/drawing/2014/main" id="{5F799390-7062-A20D-1BF9-5BF1F3AFB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9</xdr:row>
      <xdr:rowOff>175261</xdr:rowOff>
    </xdr:from>
    <xdr:to>
      <xdr:col>1</xdr:col>
      <xdr:colOff>769620</xdr:colOff>
      <xdr:row>19</xdr:row>
      <xdr:rowOff>60961</xdr:rowOff>
    </xdr:to>
    <mc:AlternateContent xmlns:mc="http://schemas.openxmlformats.org/markup-compatibility/2006" xmlns:a14="http://schemas.microsoft.com/office/drawing/2010/main">
      <mc:Choice Requires="a14">
        <xdr:graphicFrame macro="">
          <xdr:nvGraphicFramePr>
            <xdr:cNvPr id="3" name="Hiring Source">
              <a:extLst>
                <a:ext uri="{FF2B5EF4-FFF2-40B4-BE49-F238E27FC236}">
                  <a16:creationId xmlns:a16="http://schemas.microsoft.com/office/drawing/2014/main" id="{22C26579-F4EF-5D57-31DC-B80743AF6E4F}"/>
                </a:ext>
              </a:extLst>
            </xdr:cNvPr>
            <xdr:cNvGraphicFramePr/>
          </xdr:nvGraphicFramePr>
          <xdr:xfrm>
            <a:off x="0" y="0"/>
            <a:ext cx="0" cy="0"/>
          </xdr:xfrm>
          <a:graphic>
            <a:graphicData uri="http://schemas.microsoft.com/office/drawing/2010/slicer">
              <sle:slicer xmlns:sle="http://schemas.microsoft.com/office/drawing/2010/slicer" name="Hiring Source"/>
            </a:graphicData>
          </a:graphic>
        </xdr:graphicFrame>
      </mc:Choice>
      <mc:Fallback xmlns="">
        <xdr:sp macro="" textlink="">
          <xdr:nvSpPr>
            <xdr:cNvPr id="0" name=""/>
            <xdr:cNvSpPr>
              <a:spLocks noTextEdit="1"/>
            </xdr:cNvSpPr>
          </xdr:nvSpPr>
          <xdr:spPr>
            <a:xfrm>
              <a:off x="30480" y="182118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38100</xdr:rowOff>
    </xdr:from>
    <xdr:to>
      <xdr:col>10</xdr:col>
      <xdr:colOff>312420</xdr:colOff>
      <xdr:row>20</xdr:row>
      <xdr:rowOff>91440</xdr:rowOff>
    </xdr:to>
    <xdr:graphicFrame macro="">
      <xdr:nvGraphicFramePr>
        <xdr:cNvPr id="2" name="Chart 1">
          <a:extLst>
            <a:ext uri="{FF2B5EF4-FFF2-40B4-BE49-F238E27FC236}">
              <a16:creationId xmlns:a16="http://schemas.microsoft.com/office/drawing/2014/main" id="{6CCC5EF5-2EC0-43CA-FF6F-89E2BE4D1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2</xdr:row>
      <xdr:rowOff>60960</xdr:rowOff>
    </xdr:from>
    <xdr:to>
      <xdr:col>15</xdr:col>
      <xdr:colOff>190500</xdr:colOff>
      <xdr:row>7</xdr:row>
      <xdr:rowOff>106679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DAAD607-F93A-799E-034D-DDE12287BB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88680" y="426720"/>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160020</xdr:colOff>
      <xdr:row>1</xdr:row>
      <xdr:rowOff>45720</xdr:rowOff>
    </xdr:from>
    <xdr:to>
      <xdr:col>16</xdr:col>
      <xdr:colOff>76200</xdr:colOff>
      <xdr:row>21</xdr:row>
      <xdr:rowOff>41910</xdr:rowOff>
    </xdr:to>
    <xdr:graphicFrame macro="">
      <xdr:nvGraphicFramePr>
        <xdr:cNvPr id="2" name="Chart 1">
          <a:extLst>
            <a:ext uri="{FF2B5EF4-FFF2-40B4-BE49-F238E27FC236}">
              <a16:creationId xmlns:a16="http://schemas.microsoft.com/office/drawing/2014/main" id="{9743AFC1-1A46-F52E-6ECE-59EA57BB6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9</xdr:row>
      <xdr:rowOff>175261</xdr:rowOff>
    </xdr:from>
    <xdr:to>
      <xdr:col>1</xdr:col>
      <xdr:colOff>975360</xdr:colOff>
      <xdr:row>19</xdr:row>
      <xdr:rowOff>45721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3373DAC-9136-556B-3D04-29A1BC341C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20" y="182118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15240</xdr:rowOff>
    </xdr:from>
    <xdr:to>
      <xdr:col>11</xdr:col>
      <xdr:colOff>487680</xdr:colOff>
      <xdr:row>24</xdr:row>
      <xdr:rowOff>0</xdr:rowOff>
    </xdr:to>
    <xdr:graphicFrame macro="">
      <xdr:nvGraphicFramePr>
        <xdr:cNvPr id="3" name="Chart 2">
          <a:extLst>
            <a:ext uri="{FF2B5EF4-FFF2-40B4-BE49-F238E27FC236}">
              <a16:creationId xmlns:a16="http://schemas.microsoft.com/office/drawing/2014/main" id="{620BBAA2-4D82-C1BC-D70A-6AFF9C99D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8</xdr:row>
      <xdr:rowOff>144781</xdr:rowOff>
    </xdr:from>
    <xdr:to>
      <xdr:col>1</xdr:col>
      <xdr:colOff>1028700</xdr:colOff>
      <xdr:row>16</xdr:row>
      <xdr:rowOff>144781</xdr:rowOff>
    </xdr:to>
    <mc:AlternateContent xmlns:mc="http://schemas.openxmlformats.org/markup-compatibility/2006" xmlns:a14="http://schemas.microsoft.com/office/drawing/2010/main">
      <mc:Choice Requires="a14">
        <xdr:graphicFrame macro="">
          <xdr:nvGraphicFramePr>
            <xdr:cNvPr id="4" name="Age Band">
              <a:extLst>
                <a:ext uri="{FF2B5EF4-FFF2-40B4-BE49-F238E27FC236}">
                  <a16:creationId xmlns:a16="http://schemas.microsoft.com/office/drawing/2014/main" id="{A269CD2A-F1E1-D4F4-6809-9C9E48091876}"/>
                </a:ext>
              </a:extLst>
            </xdr:cNvPr>
            <xdr:cNvGraphicFramePr/>
          </xdr:nvGraphicFramePr>
          <xdr:xfrm>
            <a:off x="0" y="0"/>
            <a:ext cx="0" cy="0"/>
          </xdr:xfrm>
          <a:graphic>
            <a:graphicData uri="http://schemas.microsoft.com/office/drawing/2010/slicer">
              <sle:slicer xmlns:sle="http://schemas.microsoft.com/office/drawing/2010/slicer" name="Age Band"/>
            </a:graphicData>
          </a:graphic>
        </xdr:graphicFrame>
      </mc:Choice>
      <mc:Fallback xmlns="">
        <xdr:sp macro="" textlink="">
          <xdr:nvSpPr>
            <xdr:cNvPr id="0" name=""/>
            <xdr:cNvSpPr>
              <a:spLocks noTextEdit="1"/>
            </xdr:cNvSpPr>
          </xdr:nvSpPr>
          <xdr:spPr>
            <a:xfrm>
              <a:off x="60960" y="160782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586740</xdr:colOff>
      <xdr:row>2</xdr:row>
      <xdr:rowOff>121920</xdr:rowOff>
    </xdr:to>
    <xdr:sp macro="" textlink="">
      <xdr:nvSpPr>
        <xdr:cNvPr id="2" name="Rectangle 1">
          <a:extLst>
            <a:ext uri="{FF2B5EF4-FFF2-40B4-BE49-F238E27FC236}">
              <a16:creationId xmlns:a16="http://schemas.microsoft.com/office/drawing/2014/main" id="{AEBE049E-0300-2F42-8A35-1B79FEE6FC54}"/>
            </a:ext>
          </a:extLst>
        </xdr:cNvPr>
        <xdr:cNvSpPr/>
      </xdr:nvSpPr>
      <xdr:spPr>
        <a:xfrm>
          <a:off x="0" y="0"/>
          <a:ext cx="14607540" cy="48768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solidFill>
                <a:srgbClr val="002060"/>
              </a:solidFill>
              <a:effectLst/>
              <a:latin typeface="+mn-lt"/>
              <a:ea typeface="+mn-ea"/>
              <a:cs typeface="+mn-cs"/>
            </a:rPr>
            <a:t>HR Dashboard (Age Distribution, Hiring Source, Gender Distribution, Department Distribution)</a:t>
          </a:r>
          <a:endParaRPr lang="en-IN" sz="2000" b="0">
            <a:solidFill>
              <a:srgbClr val="002060"/>
            </a:solidFill>
          </a:endParaRPr>
        </a:p>
      </xdr:txBody>
    </xdr:sp>
    <xdr:clientData/>
  </xdr:twoCellAnchor>
  <xdr:twoCellAnchor>
    <xdr:from>
      <xdr:col>0</xdr:col>
      <xdr:colOff>0</xdr:colOff>
      <xdr:row>2</xdr:row>
      <xdr:rowOff>114300</xdr:rowOff>
    </xdr:from>
    <xdr:to>
      <xdr:col>4</xdr:col>
      <xdr:colOff>7620</xdr:colOff>
      <xdr:row>13</xdr:row>
      <xdr:rowOff>121920</xdr:rowOff>
    </xdr:to>
    <xdr:sp macro="" textlink="">
      <xdr:nvSpPr>
        <xdr:cNvPr id="3" name="Rectangle 2">
          <a:extLst>
            <a:ext uri="{FF2B5EF4-FFF2-40B4-BE49-F238E27FC236}">
              <a16:creationId xmlns:a16="http://schemas.microsoft.com/office/drawing/2014/main" id="{B854EDB9-0028-56FC-9F09-1AC183FC7F91}"/>
            </a:ext>
          </a:extLst>
        </xdr:cNvPr>
        <xdr:cNvSpPr/>
      </xdr:nvSpPr>
      <xdr:spPr>
        <a:xfrm>
          <a:off x="0" y="480060"/>
          <a:ext cx="2446020" cy="201930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2</xdr:row>
      <xdr:rowOff>129540</xdr:rowOff>
    </xdr:from>
    <xdr:to>
      <xdr:col>10</xdr:col>
      <xdr:colOff>365760</xdr:colOff>
      <xdr:row>19</xdr:row>
      <xdr:rowOff>0</xdr:rowOff>
    </xdr:to>
    <xdr:sp macro="" textlink="">
      <xdr:nvSpPr>
        <xdr:cNvPr id="4" name="Rectangle 3">
          <a:extLst>
            <a:ext uri="{FF2B5EF4-FFF2-40B4-BE49-F238E27FC236}">
              <a16:creationId xmlns:a16="http://schemas.microsoft.com/office/drawing/2014/main" id="{F55715A6-E600-4D3A-C45D-3CD8AF133460}"/>
            </a:ext>
          </a:extLst>
        </xdr:cNvPr>
        <xdr:cNvSpPr/>
      </xdr:nvSpPr>
      <xdr:spPr>
        <a:xfrm>
          <a:off x="2453640" y="495300"/>
          <a:ext cx="4008120" cy="297942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388620</xdr:colOff>
      <xdr:row>2</xdr:row>
      <xdr:rowOff>144780</xdr:rowOff>
    </xdr:from>
    <xdr:to>
      <xdr:col>17</xdr:col>
      <xdr:colOff>129540</xdr:colOff>
      <xdr:row>21</xdr:row>
      <xdr:rowOff>167640</xdr:rowOff>
    </xdr:to>
    <xdr:sp macro="" textlink="">
      <xdr:nvSpPr>
        <xdr:cNvPr id="5" name="Rectangle 4">
          <a:extLst>
            <a:ext uri="{FF2B5EF4-FFF2-40B4-BE49-F238E27FC236}">
              <a16:creationId xmlns:a16="http://schemas.microsoft.com/office/drawing/2014/main" id="{9AE9C56A-1581-FD88-D128-69E7BECCB028}"/>
            </a:ext>
          </a:extLst>
        </xdr:cNvPr>
        <xdr:cNvSpPr/>
      </xdr:nvSpPr>
      <xdr:spPr>
        <a:xfrm>
          <a:off x="6484620" y="510540"/>
          <a:ext cx="4008120" cy="349758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175260</xdr:colOff>
      <xdr:row>3</xdr:row>
      <xdr:rowOff>99060</xdr:rowOff>
    </xdr:from>
    <xdr:to>
      <xdr:col>3</xdr:col>
      <xdr:colOff>449580</xdr:colOff>
      <xdr:row>12</xdr:row>
      <xdr:rowOff>152400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DA6DF35E-D44A-4EFF-B4CB-1B9EFB3F69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5260" y="636942"/>
              <a:ext cx="2103120" cy="166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152400</xdr:rowOff>
    </xdr:from>
    <xdr:to>
      <xdr:col>4</xdr:col>
      <xdr:colOff>7620</xdr:colOff>
      <xdr:row>20</xdr:row>
      <xdr:rowOff>30480</xdr:rowOff>
    </xdr:to>
    <xdr:sp macro="" textlink="">
      <xdr:nvSpPr>
        <xdr:cNvPr id="7" name="Rectangle 6">
          <a:extLst>
            <a:ext uri="{FF2B5EF4-FFF2-40B4-BE49-F238E27FC236}">
              <a16:creationId xmlns:a16="http://schemas.microsoft.com/office/drawing/2014/main" id="{B7ED1F3C-8ABB-BED0-6866-EA9B86D682A7}"/>
            </a:ext>
          </a:extLst>
        </xdr:cNvPr>
        <xdr:cNvSpPr/>
      </xdr:nvSpPr>
      <xdr:spPr>
        <a:xfrm>
          <a:off x="0" y="2529840"/>
          <a:ext cx="2446020" cy="115824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14</xdr:row>
      <xdr:rowOff>121921</xdr:rowOff>
    </xdr:from>
    <xdr:to>
      <xdr:col>3</xdr:col>
      <xdr:colOff>457200</xdr:colOff>
      <xdr:row>19</xdr:row>
      <xdr:rowOff>99061</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2E82B856-3D59-413B-887B-E306CD02F00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0500" y="2632039"/>
              <a:ext cx="2095500" cy="873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60960</xdr:rowOff>
    </xdr:from>
    <xdr:to>
      <xdr:col>4</xdr:col>
      <xdr:colOff>7620</xdr:colOff>
      <xdr:row>31</xdr:row>
      <xdr:rowOff>53340</xdr:rowOff>
    </xdr:to>
    <xdr:sp macro="" textlink="">
      <xdr:nvSpPr>
        <xdr:cNvPr id="9" name="Rectangle 8">
          <a:extLst>
            <a:ext uri="{FF2B5EF4-FFF2-40B4-BE49-F238E27FC236}">
              <a16:creationId xmlns:a16="http://schemas.microsoft.com/office/drawing/2014/main" id="{E3CECFBB-8DDE-93E5-AE6A-7BB4F073D1B2}"/>
            </a:ext>
          </a:extLst>
        </xdr:cNvPr>
        <xdr:cNvSpPr/>
      </xdr:nvSpPr>
      <xdr:spPr>
        <a:xfrm>
          <a:off x="0" y="3718560"/>
          <a:ext cx="2446020" cy="200406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175260</xdr:colOff>
      <xdr:row>21</xdr:row>
      <xdr:rowOff>38100</xdr:rowOff>
    </xdr:from>
    <xdr:to>
      <xdr:col>3</xdr:col>
      <xdr:colOff>434340</xdr:colOff>
      <xdr:row>30</xdr:row>
      <xdr:rowOff>106680</xdr:rowOff>
    </xdr:to>
    <mc:AlternateContent xmlns:mc="http://schemas.openxmlformats.org/markup-compatibility/2006" xmlns:a14="http://schemas.microsoft.com/office/drawing/2010/main">
      <mc:Choice Requires="a14">
        <xdr:graphicFrame macro="">
          <xdr:nvGraphicFramePr>
            <xdr:cNvPr id="10" name="Hiring Source 1">
              <a:extLst>
                <a:ext uri="{FF2B5EF4-FFF2-40B4-BE49-F238E27FC236}">
                  <a16:creationId xmlns:a16="http://schemas.microsoft.com/office/drawing/2014/main" id="{5799754E-B97D-441C-9457-D67363E690C9}"/>
                </a:ext>
              </a:extLst>
            </xdr:cNvPr>
            <xdr:cNvGraphicFramePr/>
          </xdr:nvGraphicFramePr>
          <xdr:xfrm>
            <a:off x="0" y="0"/>
            <a:ext cx="0" cy="0"/>
          </xdr:xfrm>
          <a:graphic>
            <a:graphicData uri="http://schemas.microsoft.com/office/drawing/2010/slicer">
              <sle:slicer xmlns:sle="http://schemas.microsoft.com/office/drawing/2010/slicer" name="Hiring Source 1"/>
            </a:graphicData>
          </a:graphic>
        </xdr:graphicFrame>
      </mc:Choice>
      <mc:Fallback xmlns="">
        <xdr:sp macro="" textlink="">
          <xdr:nvSpPr>
            <xdr:cNvPr id="0" name=""/>
            <xdr:cNvSpPr>
              <a:spLocks noTextEdit="1"/>
            </xdr:cNvSpPr>
          </xdr:nvSpPr>
          <xdr:spPr>
            <a:xfrm>
              <a:off x="175260" y="3803276"/>
              <a:ext cx="2087880" cy="168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83820</xdr:rowOff>
    </xdr:from>
    <xdr:to>
      <xdr:col>4</xdr:col>
      <xdr:colOff>7620</xdr:colOff>
      <xdr:row>41</xdr:row>
      <xdr:rowOff>7620</xdr:rowOff>
    </xdr:to>
    <xdr:sp macro="" textlink="">
      <xdr:nvSpPr>
        <xdr:cNvPr id="11" name="Rectangle 10">
          <a:extLst>
            <a:ext uri="{FF2B5EF4-FFF2-40B4-BE49-F238E27FC236}">
              <a16:creationId xmlns:a16="http://schemas.microsoft.com/office/drawing/2014/main" id="{704A166A-AF7B-3D30-9D1C-A615467B309A}"/>
            </a:ext>
          </a:extLst>
        </xdr:cNvPr>
        <xdr:cNvSpPr/>
      </xdr:nvSpPr>
      <xdr:spPr>
        <a:xfrm>
          <a:off x="0" y="5753100"/>
          <a:ext cx="2446020" cy="175260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167640</xdr:colOff>
      <xdr:row>32</xdr:row>
      <xdr:rowOff>60960</xdr:rowOff>
    </xdr:from>
    <xdr:to>
      <xdr:col>3</xdr:col>
      <xdr:colOff>426720</xdr:colOff>
      <xdr:row>40</xdr:row>
      <xdr:rowOff>60960</xdr:rowOff>
    </xdr:to>
    <mc:AlternateContent xmlns:mc="http://schemas.openxmlformats.org/markup-compatibility/2006" xmlns:a14="http://schemas.microsoft.com/office/drawing/2010/main">
      <mc:Choice Requires="a14">
        <xdr:graphicFrame macro="">
          <xdr:nvGraphicFramePr>
            <xdr:cNvPr id="12" name="Age Band 1">
              <a:extLst>
                <a:ext uri="{FF2B5EF4-FFF2-40B4-BE49-F238E27FC236}">
                  <a16:creationId xmlns:a16="http://schemas.microsoft.com/office/drawing/2014/main" id="{E40F0364-ED97-4057-B2D5-28962205447B}"/>
                </a:ext>
              </a:extLst>
            </xdr:cNvPr>
            <xdr:cNvGraphicFramePr/>
          </xdr:nvGraphicFramePr>
          <xdr:xfrm>
            <a:off x="0" y="0"/>
            <a:ext cx="0" cy="0"/>
          </xdr:xfrm>
          <a:graphic>
            <a:graphicData uri="http://schemas.microsoft.com/office/drawing/2010/slicer">
              <sle:slicer xmlns:sle="http://schemas.microsoft.com/office/drawing/2010/slicer" name="Age Band 1"/>
            </a:graphicData>
          </a:graphic>
        </xdr:graphicFrame>
      </mc:Choice>
      <mc:Fallback xmlns="">
        <xdr:sp macro="" textlink="">
          <xdr:nvSpPr>
            <xdr:cNvPr id="0" name=""/>
            <xdr:cNvSpPr>
              <a:spLocks noTextEdit="1"/>
            </xdr:cNvSpPr>
          </xdr:nvSpPr>
          <xdr:spPr>
            <a:xfrm>
              <a:off x="167640" y="5798372"/>
              <a:ext cx="2087880"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518160</xdr:colOff>
      <xdr:row>3</xdr:row>
      <xdr:rowOff>68580</xdr:rowOff>
    </xdr:from>
    <xdr:to>
      <xdr:col>17</xdr:col>
      <xdr:colOff>15240</xdr:colOff>
      <xdr:row>18</xdr:row>
      <xdr:rowOff>60960</xdr:rowOff>
    </xdr:to>
    <xdr:graphicFrame macro="">
      <xdr:nvGraphicFramePr>
        <xdr:cNvPr id="13" name="Chart 12">
          <a:extLst>
            <a:ext uri="{FF2B5EF4-FFF2-40B4-BE49-F238E27FC236}">
              <a16:creationId xmlns:a16="http://schemas.microsoft.com/office/drawing/2014/main" id="{15D3650D-7444-4B86-8F06-62AB80B4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3</xdr:row>
      <xdr:rowOff>76199</xdr:rowOff>
    </xdr:from>
    <xdr:to>
      <xdr:col>10</xdr:col>
      <xdr:colOff>228600</xdr:colOff>
      <xdr:row>18</xdr:row>
      <xdr:rowOff>38100</xdr:rowOff>
    </xdr:to>
    <xdr:graphicFrame macro="">
      <xdr:nvGraphicFramePr>
        <xdr:cNvPr id="14" name="Chart 13">
          <a:extLst>
            <a:ext uri="{FF2B5EF4-FFF2-40B4-BE49-F238E27FC236}">
              <a16:creationId xmlns:a16="http://schemas.microsoft.com/office/drawing/2014/main" id="{413C47E1-B0E9-4575-A13D-17057BF6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18</xdr:row>
      <xdr:rowOff>167640</xdr:rowOff>
    </xdr:from>
    <xdr:to>
      <xdr:col>23</xdr:col>
      <xdr:colOff>586740</xdr:colOff>
      <xdr:row>41</xdr:row>
      <xdr:rowOff>7620</xdr:rowOff>
    </xdr:to>
    <xdr:sp macro="" textlink="">
      <xdr:nvSpPr>
        <xdr:cNvPr id="17" name="Rectangle 16">
          <a:extLst>
            <a:ext uri="{FF2B5EF4-FFF2-40B4-BE49-F238E27FC236}">
              <a16:creationId xmlns:a16="http://schemas.microsoft.com/office/drawing/2014/main" id="{E30843A4-9F52-85D1-18E9-F60C5940B766}"/>
            </a:ext>
          </a:extLst>
        </xdr:cNvPr>
        <xdr:cNvSpPr/>
      </xdr:nvSpPr>
      <xdr:spPr>
        <a:xfrm>
          <a:off x="2461260" y="3459480"/>
          <a:ext cx="12146280" cy="404622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160020</xdr:colOff>
      <xdr:row>2</xdr:row>
      <xdr:rowOff>152400</xdr:rowOff>
    </xdr:from>
    <xdr:to>
      <xdr:col>23</xdr:col>
      <xdr:colOff>586740</xdr:colOff>
      <xdr:row>18</xdr:row>
      <xdr:rowOff>137160</xdr:rowOff>
    </xdr:to>
    <xdr:sp macro="" textlink="">
      <xdr:nvSpPr>
        <xdr:cNvPr id="18" name="Rectangle 17">
          <a:extLst>
            <a:ext uri="{FF2B5EF4-FFF2-40B4-BE49-F238E27FC236}">
              <a16:creationId xmlns:a16="http://schemas.microsoft.com/office/drawing/2014/main" id="{BAAB099A-17A5-24F1-949F-403B5A84D655}"/>
            </a:ext>
          </a:extLst>
        </xdr:cNvPr>
        <xdr:cNvSpPr/>
      </xdr:nvSpPr>
      <xdr:spPr>
        <a:xfrm>
          <a:off x="10523220" y="518160"/>
          <a:ext cx="4084320" cy="2910840"/>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167640</xdr:colOff>
      <xdr:row>19</xdr:row>
      <xdr:rowOff>106680</xdr:rowOff>
    </xdr:from>
    <xdr:to>
      <xdr:col>23</xdr:col>
      <xdr:colOff>464820</xdr:colOff>
      <xdr:row>40</xdr:row>
      <xdr:rowOff>45720</xdr:rowOff>
    </xdr:to>
    <xdr:graphicFrame macro="">
      <xdr:nvGraphicFramePr>
        <xdr:cNvPr id="19" name="Chart 18">
          <a:extLst>
            <a:ext uri="{FF2B5EF4-FFF2-40B4-BE49-F238E27FC236}">
              <a16:creationId xmlns:a16="http://schemas.microsoft.com/office/drawing/2014/main" id="{A64474F2-9F15-4722-9649-D89C21AA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304800</xdr:colOff>
      <xdr:row>3</xdr:row>
      <xdr:rowOff>99060</xdr:rowOff>
    </xdr:from>
    <xdr:to>
      <xdr:col>23</xdr:col>
      <xdr:colOff>457200</xdr:colOff>
      <xdr:row>17</xdr:row>
      <xdr:rowOff>167640</xdr:rowOff>
    </xdr:to>
    <xdr:graphicFrame macro="">
      <xdr:nvGraphicFramePr>
        <xdr:cNvPr id="20" name="Chart 19">
          <a:extLst>
            <a:ext uri="{FF2B5EF4-FFF2-40B4-BE49-F238E27FC236}">
              <a16:creationId xmlns:a16="http://schemas.microsoft.com/office/drawing/2014/main" id="{52CEFB74-97FD-4375-BDCF-E486049B8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lingiri N" refreshedDate="45866.216357175923" createdVersion="8" refreshedVersion="8" minRefreshableVersion="3" recordCount="30" xr:uid="{38AB819C-50A3-4E61-9BF3-815A85CB84A2}">
  <cacheSource type="worksheet">
    <worksheetSource ref="A1:J31" sheet="HR_Data"/>
  </cacheSource>
  <cacheFields count="10">
    <cacheField name="Employee ID" numFmtId="0">
      <sharedItems containsSemiMixedTypes="0" containsString="0" containsNumber="1" containsInteger="1" minValue="1001" maxValue="1030"/>
    </cacheField>
    <cacheField name="Name" numFmtId="0">
      <sharedItems/>
    </cacheField>
    <cacheField name="Age" numFmtId="0">
      <sharedItems containsSemiMixedTypes="0" containsString="0" containsNumber="1" containsInteger="1" minValue="22" maxValue="49"/>
    </cacheField>
    <cacheField name="Gender" numFmtId="0">
      <sharedItems count="2">
        <s v="Male"/>
        <s v="Female"/>
      </sharedItems>
    </cacheField>
    <cacheField name="Department" numFmtId="0">
      <sharedItems count="5">
        <s v="Marketing"/>
        <s v="IT"/>
        <s v="Operations"/>
        <s v="HR"/>
        <s v="Finance"/>
      </sharedItems>
    </cacheField>
    <cacheField name="Hiring Source" numFmtId="0">
      <sharedItems count="5">
        <s v="Job Portal"/>
        <s v="Walk-in"/>
        <s v="Company Website"/>
        <s v="Referral"/>
        <s v="Campus Hiring"/>
      </sharedItems>
    </cacheField>
    <cacheField name="Date of Joining" numFmtId="0">
      <sharedItems/>
    </cacheField>
    <cacheField name="Location" numFmtId="0">
      <sharedItems/>
    </cacheField>
    <cacheField name="Experience (Years)" numFmtId="0">
      <sharedItems containsSemiMixedTypes="0" containsString="0" containsNumber="1" minValue="0.7" maxValue="19.7"/>
    </cacheField>
    <cacheField name="Age Band" numFmtId="0">
      <sharedItems count="4">
        <s v="31-40"/>
        <s v="25-30"/>
        <s v="&lt;25"/>
        <s v="&gt;40"/>
      </sharedItems>
    </cacheField>
  </cacheFields>
  <extLst>
    <ext xmlns:x14="http://schemas.microsoft.com/office/spreadsheetml/2009/9/main" uri="{725AE2AE-9491-48be-B2B4-4EB974FC3084}">
      <x14:pivotCacheDefinition pivotCacheId="1447101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s v="Arjun Rao"/>
    <n v="39"/>
    <x v="0"/>
    <x v="0"/>
    <x v="0"/>
    <s v="2018-11-09"/>
    <s v="Hyderabad"/>
    <n v="12.9"/>
    <x v="0"/>
  </r>
  <r>
    <n v="1002"/>
    <s v="Suma Iyer"/>
    <n v="29"/>
    <x v="1"/>
    <x v="1"/>
    <x v="0"/>
    <s v="2021-08-29"/>
    <s v="Delhi"/>
    <n v="0.7"/>
    <x v="1"/>
  </r>
  <r>
    <n v="1003"/>
    <s v="Ravi Kumar"/>
    <n v="22"/>
    <x v="1"/>
    <x v="2"/>
    <x v="1"/>
    <s v="2024-07-21"/>
    <s v="Chennai"/>
    <n v="0.9"/>
    <x v="2"/>
  </r>
  <r>
    <n v="1004"/>
    <s v="Meera Joshi"/>
    <n v="46"/>
    <x v="1"/>
    <x v="1"/>
    <x v="1"/>
    <s v="2022-06-10"/>
    <s v="Mumbai"/>
    <n v="6.4"/>
    <x v="3"/>
  </r>
  <r>
    <n v="1005"/>
    <s v="Imran Shaikh"/>
    <n v="25"/>
    <x v="0"/>
    <x v="0"/>
    <x v="2"/>
    <s v="2023-09-16"/>
    <s v="Chennai"/>
    <n v="2.2000000000000002"/>
    <x v="1"/>
  </r>
  <r>
    <n v="1006"/>
    <s v="Anjali Menon"/>
    <n v="32"/>
    <x v="1"/>
    <x v="2"/>
    <x v="1"/>
    <s v="2022-08-07"/>
    <s v="Chennai"/>
    <n v="5.9"/>
    <x v="0"/>
  </r>
  <r>
    <n v="1007"/>
    <s v="Karan Desai"/>
    <n v="23"/>
    <x v="0"/>
    <x v="3"/>
    <x v="3"/>
    <s v="2022-02-01"/>
    <s v="Bangalore"/>
    <n v="1.7"/>
    <x v="2"/>
  </r>
  <r>
    <n v="1008"/>
    <s v="Pooja Verma"/>
    <n v="44"/>
    <x v="1"/>
    <x v="4"/>
    <x v="3"/>
    <s v="2022-04-11"/>
    <s v="Hyderabad"/>
    <n v="4.5"/>
    <x v="3"/>
  </r>
  <r>
    <n v="1009"/>
    <s v="Rahul Jain"/>
    <n v="30"/>
    <x v="1"/>
    <x v="1"/>
    <x v="0"/>
    <s v="2021-12-20"/>
    <s v="Chennai"/>
    <n v="3.7"/>
    <x v="1"/>
  </r>
  <r>
    <n v="1010"/>
    <s v="Divya Sinha"/>
    <n v="46"/>
    <x v="1"/>
    <x v="3"/>
    <x v="2"/>
    <s v="2022-03-31"/>
    <s v="Pune"/>
    <n v="18.600000000000001"/>
    <x v="3"/>
  </r>
  <r>
    <n v="1011"/>
    <s v="Vikram Patel"/>
    <n v="32"/>
    <x v="0"/>
    <x v="0"/>
    <x v="4"/>
    <s v="2023-07-27"/>
    <s v="Delhi"/>
    <n v="7.7"/>
    <x v="0"/>
  </r>
  <r>
    <n v="1012"/>
    <s v="Nisha Roy"/>
    <n v="49"/>
    <x v="0"/>
    <x v="3"/>
    <x v="2"/>
    <s v="2023-08-15"/>
    <s v="Delhi"/>
    <n v="11"/>
    <x v="3"/>
  </r>
  <r>
    <n v="1013"/>
    <s v="Tarun Bhatia"/>
    <n v="30"/>
    <x v="0"/>
    <x v="4"/>
    <x v="2"/>
    <s v="2020-10-11"/>
    <s v="Pune"/>
    <n v="8.1"/>
    <x v="1"/>
  </r>
  <r>
    <n v="1014"/>
    <s v="Rekha Sharma"/>
    <n v="39"/>
    <x v="1"/>
    <x v="0"/>
    <x v="0"/>
    <s v="2020-05-03"/>
    <s v="Bangalore"/>
    <n v="10.3"/>
    <x v="0"/>
  </r>
  <r>
    <n v="1015"/>
    <s v="Zaid Khan"/>
    <n v="48"/>
    <x v="0"/>
    <x v="4"/>
    <x v="0"/>
    <s v="2018-05-17"/>
    <s v="Bangalore"/>
    <n v="19.7"/>
    <x v="3"/>
  </r>
  <r>
    <n v="1016"/>
    <s v="Sneha Reddy"/>
    <n v="46"/>
    <x v="1"/>
    <x v="0"/>
    <x v="3"/>
    <s v="2020-05-23"/>
    <s v="Hyderabad"/>
    <n v="13.9"/>
    <x v="3"/>
  </r>
  <r>
    <n v="1017"/>
    <s v="Gaurav Mehta"/>
    <n v="43"/>
    <x v="1"/>
    <x v="2"/>
    <x v="1"/>
    <s v="2024-01-21"/>
    <s v="Hyderabad"/>
    <n v="12.6"/>
    <x v="3"/>
  </r>
  <r>
    <n v="1018"/>
    <s v="Lakshmi Nair"/>
    <n v="45"/>
    <x v="1"/>
    <x v="2"/>
    <x v="4"/>
    <s v="2024-05-18"/>
    <s v="Pune"/>
    <n v="14.9"/>
    <x v="3"/>
  </r>
  <r>
    <n v="1019"/>
    <s v="Deepak Verma"/>
    <n v="37"/>
    <x v="1"/>
    <x v="0"/>
    <x v="2"/>
    <s v="2023-05-24"/>
    <s v="Pune"/>
    <n v="7.1"/>
    <x v="0"/>
  </r>
  <r>
    <n v="1020"/>
    <s v="Ishita Das"/>
    <n v="31"/>
    <x v="1"/>
    <x v="0"/>
    <x v="0"/>
    <s v="2020-10-05"/>
    <s v="Hyderabad"/>
    <n v="8.3000000000000007"/>
    <x v="0"/>
  </r>
  <r>
    <n v="1021"/>
    <s v="Ajay Prasad"/>
    <n v="45"/>
    <x v="0"/>
    <x v="3"/>
    <x v="0"/>
    <s v="2019-10-12"/>
    <s v="Bangalore"/>
    <n v="19.2"/>
    <x v="3"/>
  </r>
  <r>
    <n v="1022"/>
    <s v="Fatima Noor"/>
    <n v="24"/>
    <x v="0"/>
    <x v="2"/>
    <x v="3"/>
    <s v="2024-08-10"/>
    <s v="Mumbai"/>
    <n v="1.4"/>
    <x v="2"/>
  </r>
  <r>
    <n v="1023"/>
    <s v="Vivek Anand"/>
    <n v="42"/>
    <x v="0"/>
    <x v="0"/>
    <x v="3"/>
    <s v="2023-04-27"/>
    <s v="Bangalore"/>
    <n v="14.6"/>
    <x v="3"/>
  </r>
  <r>
    <n v="1024"/>
    <s v="Kavya Shetty"/>
    <n v="25"/>
    <x v="0"/>
    <x v="3"/>
    <x v="3"/>
    <s v="2024-10-21"/>
    <s v="Hyderabad"/>
    <n v="0.7"/>
    <x v="1"/>
  </r>
  <r>
    <n v="1025"/>
    <s v="Rohan Malhotra"/>
    <n v="42"/>
    <x v="0"/>
    <x v="2"/>
    <x v="1"/>
    <s v="2024-11-04"/>
    <s v="Bangalore"/>
    <n v="17.3"/>
    <x v="3"/>
  </r>
  <r>
    <n v="1026"/>
    <s v="Preeti Agarwal"/>
    <n v="41"/>
    <x v="0"/>
    <x v="0"/>
    <x v="4"/>
    <s v="2019-04-10"/>
    <s v="Chennai"/>
    <n v="3.8"/>
    <x v="3"/>
  </r>
  <r>
    <n v="1027"/>
    <s v="Siddharth Bose"/>
    <n v="47"/>
    <x v="0"/>
    <x v="3"/>
    <x v="0"/>
    <s v="2024-01-15"/>
    <s v="Bangalore"/>
    <n v="11.6"/>
    <x v="3"/>
  </r>
  <r>
    <n v="1028"/>
    <s v="Neha Kapoor"/>
    <n v="27"/>
    <x v="1"/>
    <x v="2"/>
    <x v="1"/>
    <s v="2021-07-19"/>
    <s v="Chennai"/>
    <n v="3.4"/>
    <x v="1"/>
  </r>
  <r>
    <n v="1029"/>
    <s v="Aamir Hussain"/>
    <n v="43"/>
    <x v="0"/>
    <x v="2"/>
    <x v="1"/>
    <s v="2018-10-04"/>
    <s v="Pune"/>
    <n v="3.1"/>
    <x v="3"/>
  </r>
  <r>
    <n v="1030"/>
    <s v="Ritu Sen"/>
    <n v="41"/>
    <x v="1"/>
    <x v="2"/>
    <x v="4"/>
    <s v="2022-07-14"/>
    <s v="Delhi"/>
    <n v="0.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D2A60-FAE9-4A6E-882F-93DC9D47B7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0">
    <pivotField dataField="1" showAll="0"/>
    <pivotField showAll="0"/>
    <pivotField showAll="0"/>
    <pivotField showAll="0"/>
    <pivotField showAll="0">
      <items count="6">
        <item x="4"/>
        <item x="3"/>
        <item x="1"/>
        <item x="0"/>
        <item x="2"/>
        <item t="default"/>
      </items>
    </pivotField>
    <pivotField axis="axisRow" showAll="0">
      <items count="6">
        <item x="4"/>
        <item x="2"/>
        <item x="0"/>
        <item x="3"/>
        <item x="1"/>
        <item t="default"/>
      </items>
    </pivotField>
    <pivotField showAll="0"/>
    <pivotField showAll="0"/>
    <pivotField showAll="0"/>
    <pivotField showAll="0"/>
  </pivotFields>
  <rowFields count="1">
    <field x="5"/>
  </rowFields>
  <rowItems count="6">
    <i>
      <x/>
    </i>
    <i>
      <x v="1"/>
    </i>
    <i>
      <x v="2"/>
    </i>
    <i>
      <x v="3"/>
    </i>
    <i>
      <x v="4"/>
    </i>
    <i t="grand">
      <x/>
    </i>
  </rowItems>
  <colItems count="1">
    <i/>
  </colItems>
  <dataFields count="1">
    <dataField name="Count of Employee ID" fld="0" subtotal="count" baseField="5"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0D3BA-3071-447B-A844-61FE52F81A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0">
    <pivotField dataField="1" showAll="0"/>
    <pivotField showAll="0"/>
    <pivotField showAll="0"/>
    <pivotField axis="axisRow" showAll="0">
      <items count="3">
        <item x="1"/>
        <item x="0"/>
        <item t="default"/>
      </items>
    </pivotField>
    <pivotField showAll="0">
      <items count="6">
        <item x="4"/>
        <item x="3"/>
        <item x="1"/>
        <item x="0"/>
        <item x="2"/>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Employee ID" fld="0" subtotal="count" baseField="3"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1EC42-E359-4DC2-861F-1585625211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0">
    <pivotField dataField="1" showAll="0"/>
    <pivotField showAll="0"/>
    <pivotField showAll="0"/>
    <pivotField showAll="0"/>
    <pivotField axis="axisRow" showAll="0">
      <items count="6">
        <item x="4"/>
        <item x="3"/>
        <item x="1"/>
        <item x="0"/>
        <item x="2"/>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 ID"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C1E09-46B2-422D-AB11-5B35AD521F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0">
    <pivotField dataField="1" showAll="0"/>
    <pivotField showAll="0"/>
    <pivotField showAll="0"/>
    <pivotField showAll="0"/>
    <pivotField showAll="0">
      <items count="6">
        <item x="4"/>
        <item x="3"/>
        <item x="1"/>
        <item x="0"/>
        <item x="2"/>
        <item t="default"/>
      </items>
    </pivotField>
    <pivotField showAll="0"/>
    <pivotField showAll="0"/>
    <pivotField showAll="0"/>
    <pivotField showAll="0"/>
    <pivotField axis="axisRow" showAll="0">
      <items count="5">
        <item x="2"/>
        <item x="3"/>
        <item x="1"/>
        <item x="0"/>
        <item t="default"/>
      </items>
    </pivotField>
  </pivotFields>
  <rowFields count="1">
    <field x="9"/>
  </rowFields>
  <rowItems count="5">
    <i>
      <x/>
    </i>
    <i>
      <x v="1"/>
    </i>
    <i>
      <x v="2"/>
    </i>
    <i>
      <x v="3"/>
    </i>
    <i t="grand">
      <x/>
    </i>
  </rowItems>
  <colItems count="1">
    <i/>
  </colItems>
  <dataFields count="1">
    <dataField name="Count of Employee ID" fld="0" subtotal="count" baseField="9" baseItem="0"/>
  </dataField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F3C818-6315-4FC3-A6A6-28C4DC3758D4}" sourceName="Gender">
  <pivotTables>
    <pivotTable tabId="6" name="PivotTable4"/>
  </pivotTables>
  <data>
    <tabular pivotCacheId="14471010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F49030-FBAF-46ED-A14B-5A8F814D0130}" sourceName="Department">
  <pivotTables>
    <pivotTable tabId="7" name="PivotTable5"/>
    <pivotTable tabId="4" name="PivotTable2"/>
    <pivotTable tabId="6" name="PivotTable4"/>
    <pivotTable tabId="5" name="PivotTable3"/>
  </pivotTables>
  <data>
    <tabular pivotCacheId="1447101054">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Source" xr10:uid="{1E7E863E-61D5-4C65-93C8-701A371AE714}" sourceName="Hiring Source">
  <pivotTables>
    <pivotTable tabId="5" name="PivotTable3"/>
  </pivotTables>
  <data>
    <tabular pivotCacheId="1447101054">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5590BA93-075F-4D43-88FB-99FF75CA737A}" sourceName="Age Band">
  <pivotTables>
    <pivotTable tabId="4" name="PivotTable2"/>
  </pivotTables>
  <data>
    <tabular pivotCacheId="144710105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ing Source" xr10:uid="{C22E7DBF-DE8B-4759-8C1C-0A288DAC2015}" cache="Slicer_Hiring_Source" caption="Hiring Sour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E9D351-A68A-4D95-80AC-F0E3B42E7A6A}"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42BF39-B4FD-4D3B-96D0-F3881EC82CA2}"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and" xr10:uid="{AD0D8A07-E0CC-4B3A-977B-F345583EF33A}" cache="Slicer_Age_Band" caption="Age Ban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2864E8-42F9-4059-824C-94C36F418BD3}" cache="Slicer_Gender" caption="Gender" rowHeight="234950"/>
  <slicer name="Department 1" xr10:uid="{D511E096-9864-4374-8FB4-5241835D9324}" cache="Slicer_Department" caption="Department" rowHeight="234950"/>
  <slicer name="Hiring Source 1" xr10:uid="{7484BAFC-E401-4088-8BA4-1B8B04F4236D}" cache="Slicer_Hiring_Source" caption="Hiring Source" rowHeight="234950"/>
  <slicer name="Age Band 1" xr10:uid="{EEEF7908-F99F-41D2-A768-C9EBA8B00674}" cache="Slicer_Age_Band" caption="Age B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workbookViewId="0">
      <selection activeCell="M6" sqref="M6"/>
    </sheetView>
  </sheetViews>
  <sheetFormatPr defaultRowHeight="14.4" x14ac:dyDescent="0.3"/>
  <cols>
    <col min="1" max="1" width="11.5546875" bestFit="1" customWidth="1"/>
    <col min="2" max="2" width="14.33203125" bestFit="1" customWidth="1"/>
    <col min="3" max="3" width="4.21875" bestFit="1" customWidth="1"/>
    <col min="4" max="4" width="7.109375" bestFit="1" customWidth="1"/>
    <col min="5" max="5" width="11.109375" bestFit="1" customWidth="1"/>
    <col min="6" max="6" width="15.88671875" bestFit="1" customWidth="1"/>
    <col min="7" max="7" width="13.5546875" bestFit="1" customWidth="1"/>
    <col min="8" max="8" width="9.77734375" bestFit="1" customWidth="1"/>
    <col min="9" max="9" width="16.44140625" bestFit="1" customWidth="1"/>
  </cols>
  <sheetData>
    <row r="1" spans="1:10" x14ac:dyDescent="0.3">
      <c r="A1" s="1" t="s">
        <v>0</v>
      </c>
      <c r="B1" s="1" t="s">
        <v>1</v>
      </c>
      <c r="C1" s="1" t="s">
        <v>2</v>
      </c>
      <c r="D1" s="1" t="s">
        <v>3</v>
      </c>
      <c r="E1" s="1" t="s">
        <v>4</v>
      </c>
      <c r="F1" s="1" t="s">
        <v>5</v>
      </c>
      <c r="G1" s="1" t="s">
        <v>6</v>
      </c>
      <c r="H1" s="1" t="s">
        <v>7</v>
      </c>
      <c r="I1" s="1" t="s">
        <v>8</v>
      </c>
      <c r="J1" s="1" t="s">
        <v>89</v>
      </c>
    </row>
    <row r="2" spans="1:10" x14ac:dyDescent="0.3">
      <c r="A2" s="4">
        <v>1001</v>
      </c>
      <c r="B2" s="4" t="s">
        <v>9</v>
      </c>
      <c r="C2" s="4">
        <v>39</v>
      </c>
      <c r="D2" s="4" t="s">
        <v>10</v>
      </c>
      <c r="E2" s="4" t="s">
        <v>11</v>
      </c>
      <c r="F2" s="4" t="s">
        <v>12</v>
      </c>
      <c r="G2" s="4" t="s">
        <v>13</v>
      </c>
      <c r="H2" s="4" t="s">
        <v>14</v>
      </c>
      <c r="I2" s="4">
        <v>12.9</v>
      </c>
      <c r="J2" s="4" t="str">
        <f>IF(C2&lt;25, "&lt;25", IF(C2&lt;=30, "25-30", IF(C2&lt;=40, "31-40", "&gt;40")))</f>
        <v>31-40</v>
      </c>
    </row>
    <row r="3" spans="1:10" x14ac:dyDescent="0.3">
      <c r="A3" s="4">
        <v>1002</v>
      </c>
      <c r="B3" s="4" t="s">
        <v>15</v>
      </c>
      <c r="C3" s="4">
        <v>29</v>
      </c>
      <c r="D3" s="4" t="s">
        <v>16</v>
      </c>
      <c r="E3" s="4" t="s">
        <v>17</v>
      </c>
      <c r="F3" s="4" t="s">
        <v>12</v>
      </c>
      <c r="G3" s="4" t="s">
        <v>18</v>
      </c>
      <c r="H3" s="4" t="s">
        <v>19</v>
      </c>
      <c r="I3" s="4">
        <v>0.7</v>
      </c>
      <c r="J3" s="4" t="str">
        <f t="shared" ref="J3:J31" si="0">IF(C3&lt;25, "&lt;25", IF(C3&lt;=30, "25-30", IF(C3&lt;=40, "31-40", "&gt;40")))</f>
        <v>25-30</v>
      </c>
    </row>
    <row r="4" spans="1:10" x14ac:dyDescent="0.3">
      <c r="A4" s="4">
        <v>1003</v>
      </c>
      <c r="B4" s="4" t="s">
        <v>20</v>
      </c>
      <c r="C4" s="4">
        <v>22</v>
      </c>
      <c r="D4" s="4" t="s">
        <v>16</v>
      </c>
      <c r="E4" s="4" t="s">
        <v>21</v>
      </c>
      <c r="F4" s="4" t="s">
        <v>22</v>
      </c>
      <c r="G4" s="4" t="s">
        <v>23</v>
      </c>
      <c r="H4" s="4" t="s">
        <v>24</v>
      </c>
      <c r="I4" s="4">
        <v>0.9</v>
      </c>
      <c r="J4" s="4" t="str">
        <f t="shared" si="0"/>
        <v>&lt;25</v>
      </c>
    </row>
    <row r="5" spans="1:10" x14ac:dyDescent="0.3">
      <c r="A5" s="4">
        <v>1004</v>
      </c>
      <c r="B5" s="4" t="s">
        <v>25</v>
      </c>
      <c r="C5" s="4">
        <v>46</v>
      </c>
      <c r="D5" s="4" t="s">
        <v>16</v>
      </c>
      <c r="E5" s="4" t="s">
        <v>17</v>
      </c>
      <c r="F5" s="4" t="s">
        <v>22</v>
      </c>
      <c r="G5" s="4" t="s">
        <v>26</v>
      </c>
      <c r="H5" s="4" t="s">
        <v>27</v>
      </c>
      <c r="I5" s="4">
        <v>6.4</v>
      </c>
      <c r="J5" s="4" t="str">
        <f t="shared" si="0"/>
        <v>&gt;40</v>
      </c>
    </row>
    <row r="6" spans="1:10" x14ac:dyDescent="0.3">
      <c r="A6" s="4">
        <v>1005</v>
      </c>
      <c r="B6" s="4" t="s">
        <v>28</v>
      </c>
      <c r="C6" s="4">
        <v>25</v>
      </c>
      <c r="D6" s="4" t="s">
        <v>10</v>
      </c>
      <c r="E6" s="4" t="s">
        <v>11</v>
      </c>
      <c r="F6" s="4" t="s">
        <v>29</v>
      </c>
      <c r="G6" s="4" t="s">
        <v>30</v>
      </c>
      <c r="H6" s="4" t="s">
        <v>24</v>
      </c>
      <c r="I6" s="4">
        <v>2.2000000000000002</v>
      </c>
      <c r="J6" s="4" t="str">
        <f t="shared" si="0"/>
        <v>25-30</v>
      </c>
    </row>
    <row r="7" spans="1:10" x14ac:dyDescent="0.3">
      <c r="A7" s="4">
        <v>1006</v>
      </c>
      <c r="B7" s="4" t="s">
        <v>31</v>
      </c>
      <c r="C7" s="4">
        <v>32</v>
      </c>
      <c r="D7" s="4" t="s">
        <v>16</v>
      </c>
      <c r="E7" s="4" t="s">
        <v>21</v>
      </c>
      <c r="F7" s="4" t="s">
        <v>22</v>
      </c>
      <c r="G7" s="4" t="s">
        <v>32</v>
      </c>
      <c r="H7" s="4" t="s">
        <v>24</v>
      </c>
      <c r="I7" s="4">
        <v>5.9</v>
      </c>
      <c r="J7" s="4" t="str">
        <f t="shared" si="0"/>
        <v>31-40</v>
      </c>
    </row>
    <row r="8" spans="1:10" x14ac:dyDescent="0.3">
      <c r="A8" s="4">
        <v>1007</v>
      </c>
      <c r="B8" s="4" t="s">
        <v>33</v>
      </c>
      <c r="C8" s="4">
        <v>23</v>
      </c>
      <c r="D8" s="4" t="s">
        <v>10</v>
      </c>
      <c r="E8" s="4" t="s">
        <v>34</v>
      </c>
      <c r="F8" s="4" t="s">
        <v>35</v>
      </c>
      <c r="G8" s="4" t="s">
        <v>36</v>
      </c>
      <c r="H8" s="4" t="s">
        <v>37</v>
      </c>
      <c r="I8" s="4">
        <v>1.7</v>
      </c>
      <c r="J8" s="4" t="str">
        <f t="shared" si="0"/>
        <v>&lt;25</v>
      </c>
    </row>
    <row r="9" spans="1:10" x14ac:dyDescent="0.3">
      <c r="A9" s="4">
        <v>1008</v>
      </c>
      <c r="B9" s="4" t="s">
        <v>38</v>
      </c>
      <c r="C9" s="4">
        <v>44</v>
      </c>
      <c r="D9" s="4" t="s">
        <v>16</v>
      </c>
      <c r="E9" s="4" t="s">
        <v>39</v>
      </c>
      <c r="F9" s="4" t="s">
        <v>35</v>
      </c>
      <c r="G9" s="4" t="s">
        <v>40</v>
      </c>
      <c r="H9" s="4" t="s">
        <v>14</v>
      </c>
      <c r="I9" s="4">
        <v>4.5</v>
      </c>
      <c r="J9" s="4" t="str">
        <f t="shared" si="0"/>
        <v>&gt;40</v>
      </c>
    </row>
    <row r="10" spans="1:10" x14ac:dyDescent="0.3">
      <c r="A10" s="4">
        <v>1009</v>
      </c>
      <c r="B10" s="4" t="s">
        <v>41</v>
      </c>
      <c r="C10" s="4">
        <v>30</v>
      </c>
      <c r="D10" s="4" t="s">
        <v>16</v>
      </c>
      <c r="E10" s="4" t="s">
        <v>17</v>
      </c>
      <c r="F10" s="4" t="s">
        <v>12</v>
      </c>
      <c r="G10" s="4" t="s">
        <v>42</v>
      </c>
      <c r="H10" s="4" t="s">
        <v>24</v>
      </c>
      <c r="I10" s="4">
        <v>3.7</v>
      </c>
      <c r="J10" s="4" t="str">
        <f t="shared" si="0"/>
        <v>25-30</v>
      </c>
    </row>
    <row r="11" spans="1:10" x14ac:dyDescent="0.3">
      <c r="A11" s="4">
        <v>1010</v>
      </c>
      <c r="B11" s="4" t="s">
        <v>43</v>
      </c>
      <c r="C11" s="4">
        <v>46</v>
      </c>
      <c r="D11" s="4" t="s">
        <v>16</v>
      </c>
      <c r="E11" s="4" t="s">
        <v>34</v>
      </c>
      <c r="F11" s="4" t="s">
        <v>29</v>
      </c>
      <c r="G11" s="4" t="s">
        <v>44</v>
      </c>
      <c r="H11" s="4" t="s">
        <v>45</v>
      </c>
      <c r="I11" s="4">
        <v>18.600000000000001</v>
      </c>
      <c r="J11" s="4" t="str">
        <f t="shared" si="0"/>
        <v>&gt;40</v>
      </c>
    </row>
    <row r="12" spans="1:10" x14ac:dyDescent="0.3">
      <c r="A12" s="4">
        <v>1011</v>
      </c>
      <c r="B12" s="4" t="s">
        <v>46</v>
      </c>
      <c r="C12" s="4">
        <v>32</v>
      </c>
      <c r="D12" s="4" t="s">
        <v>10</v>
      </c>
      <c r="E12" s="4" t="s">
        <v>11</v>
      </c>
      <c r="F12" s="4" t="s">
        <v>47</v>
      </c>
      <c r="G12" s="4" t="s">
        <v>48</v>
      </c>
      <c r="H12" s="4" t="s">
        <v>19</v>
      </c>
      <c r="I12" s="4">
        <v>7.7</v>
      </c>
      <c r="J12" s="4" t="str">
        <f t="shared" si="0"/>
        <v>31-40</v>
      </c>
    </row>
    <row r="13" spans="1:10" x14ac:dyDescent="0.3">
      <c r="A13" s="4">
        <v>1012</v>
      </c>
      <c r="B13" s="4" t="s">
        <v>49</v>
      </c>
      <c r="C13" s="4">
        <v>49</v>
      </c>
      <c r="D13" s="4" t="s">
        <v>10</v>
      </c>
      <c r="E13" s="4" t="s">
        <v>34</v>
      </c>
      <c r="F13" s="4" t="s">
        <v>29</v>
      </c>
      <c r="G13" s="4" t="s">
        <v>50</v>
      </c>
      <c r="H13" s="4" t="s">
        <v>19</v>
      </c>
      <c r="I13" s="4">
        <v>11</v>
      </c>
      <c r="J13" s="4" t="str">
        <f t="shared" si="0"/>
        <v>&gt;40</v>
      </c>
    </row>
    <row r="14" spans="1:10" x14ac:dyDescent="0.3">
      <c r="A14" s="4">
        <v>1013</v>
      </c>
      <c r="B14" s="4" t="s">
        <v>51</v>
      </c>
      <c r="C14" s="4">
        <v>30</v>
      </c>
      <c r="D14" s="4" t="s">
        <v>10</v>
      </c>
      <c r="E14" s="4" t="s">
        <v>39</v>
      </c>
      <c r="F14" s="4" t="s">
        <v>29</v>
      </c>
      <c r="G14" s="4" t="s">
        <v>52</v>
      </c>
      <c r="H14" s="4" t="s">
        <v>45</v>
      </c>
      <c r="I14" s="4">
        <v>8.1</v>
      </c>
      <c r="J14" s="4" t="str">
        <f t="shared" si="0"/>
        <v>25-30</v>
      </c>
    </row>
    <row r="15" spans="1:10" x14ac:dyDescent="0.3">
      <c r="A15" s="4">
        <v>1014</v>
      </c>
      <c r="B15" s="4" t="s">
        <v>53</v>
      </c>
      <c r="C15" s="4">
        <v>39</v>
      </c>
      <c r="D15" s="4" t="s">
        <v>16</v>
      </c>
      <c r="E15" s="4" t="s">
        <v>11</v>
      </c>
      <c r="F15" s="4" t="s">
        <v>12</v>
      </c>
      <c r="G15" s="4" t="s">
        <v>54</v>
      </c>
      <c r="H15" s="4" t="s">
        <v>37</v>
      </c>
      <c r="I15" s="4">
        <v>10.3</v>
      </c>
      <c r="J15" s="4" t="str">
        <f t="shared" si="0"/>
        <v>31-40</v>
      </c>
    </row>
    <row r="16" spans="1:10" x14ac:dyDescent="0.3">
      <c r="A16" s="4">
        <v>1015</v>
      </c>
      <c r="B16" s="4" t="s">
        <v>55</v>
      </c>
      <c r="C16" s="4">
        <v>48</v>
      </c>
      <c r="D16" s="4" t="s">
        <v>10</v>
      </c>
      <c r="E16" s="4" t="s">
        <v>39</v>
      </c>
      <c r="F16" s="4" t="s">
        <v>12</v>
      </c>
      <c r="G16" s="4" t="s">
        <v>56</v>
      </c>
      <c r="H16" s="4" t="s">
        <v>37</v>
      </c>
      <c r="I16" s="4">
        <v>19.7</v>
      </c>
      <c r="J16" s="4" t="str">
        <f t="shared" si="0"/>
        <v>&gt;40</v>
      </c>
    </row>
    <row r="17" spans="1:10" x14ac:dyDescent="0.3">
      <c r="A17" s="4">
        <v>1016</v>
      </c>
      <c r="B17" s="4" t="s">
        <v>57</v>
      </c>
      <c r="C17" s="4">
        <v>46</v>
      </c>
      <c r="D17" s="4" t="s">
        <v>16</v>
      </c>
      <c r="E17" s="4" t="s">
        <v>11</v>
      </c>
      <c r="F17" s="4" t="s">
        <v>35</v>
      </c>
      <c r="G17" s="4" t="s">
        <v>58</v>
      </c>
      <c r="H17" s="4" t="s">
        <v>14</v>
      </c>
      <c r="I17" s="4">
        <v>13.9</v>
      </c>
      <c r="J17" s="4" t="str">
        <f t="shared" si="0"/>
        <v>&gt;40</v>
      </c>
    </row>
    <row r="18" spans="1:10" x14ac:dyDescent="0.3">
      <c r="A18" s="4">
        <v>1017</v>
      </c>
      <c r="B18" s="4" t="s">
        <v>59</v>
      </c>
      <c r="C18" s="4">
        <v>43</v>
      </c>
      <c r="D18" s="4" t="s">
        <v>16</v>
      </c>
      <c r="E18" s="4" t="s">
        <v>21</v>
      </c>
      <c r="F18" s="4" t="s">
        <v>22</v>
      </c>
      <c r="G18" s="4" t="s">
        <v>60</v>
      </c>
      <c r="H18" s="4" t="s">
        <v>14</v>
      </c>
      <c r="I18" s="4">
        <v>12.6</v>
      </c>
      <c r="J18" s="4" t="str">
        <f t="shared" si="0"/>
        <v>&gt;40</v>
      </c>
    </row>
    <row r="19" spans="1:10" x14ac:dyDescent="0.3">
      <c r="A19" s="4">
        <v>1018</v>
      </c>
      <c r="B19" s="4" t="s">
        <v>61</v>
      </c>
      <c r="C19" s="4">
        <v>45</v>
      </c>
      <c r="D19" s="4" t="s">
        <v>16</v>
      </c>
      <c r="E19" s="4" t="s">
        <v>21</v>
      </c>
      <c r="F19" s="4" t="s">
        <v>47</v>
      </c>
      <c r="G19" s="4" t="s">
        <v>62</v>
      </c>
      <c r="H19" s="4" t="s">
        <v>45</v>
      </c>
      <c r="I19" s="4">
        <v>14.9</v>
      </c>
      <c r="J19" s="4" t="str">
        <f t="shared" si="0"/>
        <v>&gt;40</v>
      </c>
    </row>
    <row r="20" spans="1:10" x14ac:dyDescent="0.3">
      <c r="A20" s="4">
        <v>1019</v>
      </c>
      <c r="B20" s="4" t="s">
        <v>63</v>
      </c>
      <c r="C20" s="4">
        <v>37</v>
      </c>
      <c r="D20" s="4" t="s">
        <v>16</v>
      </c>
      <c r="E20" s="4" t="s">
        <v>11</v>
      </c>
      <c r="F20" s="4" t="s">
        <v>29</v>
      </c>
      <c r="G20" s="4" t="s">
        <v>64</v>
      </c>
      <c r="H20" s="4" t="s">
        <v>45</v>
      </c>
      <c r="I20" s="4">
        <v>7.1</v>
      </c>
      <c r="J20" s="4" t="str">
        <f t="shared" si="0"/>
        <v>31-40</v>
      </c>
    </row>
    <row r="21" spans="1:10" x14ac:dyDescent="0.3">
      <c r="A21" s="4">
        <v>1020</v>
      </c>
      <c r="B21" s="4" t="s">
        <v>65</v>
      </c>
      <c r="C21" s="4">
        <v>31</v>
      </c>
      <c r="D21" s="4" t="s">
        <v>16</v>
      </c>
      <c r="E21" s="4" t="s">
        <v>11</v>
      </c>
      <c r="F21" s="4" t="s">
        <v>12</v>
      </c>
      <c r="G21" s="4" t="s">
        <v>66</v>
      </c>
      <c r="H21" s="4" t="s">
        <v>14</v>
      </c>
      <c r="I21" s="4">
        <v>8.3000000000000007</v>
      </c>
      <c r="J21" s="4" t="str">
        <f t="shared" si="0"/>
        <v>31-40</v>
      </c>
    </row>
    <row r="22" spans="1:10" x14ac:dyDescent="0.3">
      <c r="A22" s="4">
        <v>1021</v>
      </c>
      <c r="B22" s="4" t="s">
        <v>67</v>
      </c>
      <c r="C22" s="4">
        <v>45</v>
      </c>
      <c r="D22" s="4" t="s">
        <v>10</v>
      </c>
      <c r="E22" s="4" t="s">
        <v>34</v>
      </c>
      <c r="F22" s="4" t="s">
        <v>12</v>
      </c>
      <c r="G22" s="4" t="s">
        <v>68</v>
      </c>
      <c r="H22" s="4" t="s">
        <v>37</v>
      </c>
      <c r="I22" s="4">
        <v>19.2</v>
      </c>
      <c r="J22" s="4" t="str">
        <f t="shared" si="0"/>
        <v>&gt;40</v>
      </c>
    </row>
    <row r="23" spans="1:10" x14ac:dyDescent="0.3">
      <c r="A23" s="4">
        <v>1022</v>
      </c>
      <c r="B23" s="4" t="s">
        <v>69</v>
      </c>
      <c r="C23" s="4">
        <v>24</v>
      </c>
      <c r="D23" s="4" t="s">
        <v>10</v>
      </c>
      <c r="E23" s="4" t="s">
        <v>21</v>
      </c>
      <c r="F23" s="4" t="s">
        <v>35</v>
      </c>
      <c r="G23" s="4" t="s">
        <v>70</v>
      </c>
      <c r="H23" s="4" t="s">
        <v>27</v>
      </c>
      <c r="I23" s="4">
        <v>1.4</v>
      </c>
      <c r="J23" s="4" t="str">
        <f t="shared" si="0"/>
        <v>&lt;25</v>
      </c>
    </row>
    <row r="24" spans="1:10" x14ac:dyDescent="0.3">
      <c r="A24" s="4">
        <v>1023</v>
      </c>
      <c r="B24" s="4" t="s">
        <v>71</v>
      </c>
      <c r="C24" s="4">
        <v>42</v>
      </c>
      <c r="D24" s="4" t="s">
        <v>10</v>
      </c>
      <c r="E24" s="4" t="s">
        <v>11</v>
      </c>
      <c r="F24" s="4" t="s">
        <v>35</v>
      </c>
      <c r="G24" s="4" t="s">
        <v>72</v>
      </c>
      <c r="H24" s="4" t="s">
        <v>37</v>
      </c>
      <c r="I24" s="4">
        <v>14.6</v>
      </c>
      <c r="J24" s="4" t="str">
        <f t="shared" si="0"/>
        <v>&gt;40</v>
      </c>
    </row>
    <row r="25" spans="1:10" x14ac:dyDescent="0.3">
      <c r="A25" s="4">
        <v>1024</v>
      </c>
      <c r="B25" s="4" t="s">
        <v>73</v>
      </c>
      <c r="C25" s="4">
        <v>25</v>
      </c>
      <c r="D25" s="4" t="s">
        <v>10</v>
      </c>
      <c r="E25" s="4" t="s">
        <v>34</v>
      </c>
      <c r="F25" s="4" t="s">
        <v>35</v>
      </c>
      <c r="G25" s="4" t="s">
        <v>74</v>
      </c>
      <c r="H25" s="4" t="s">
        <v>14</v>
      </c>
      <c r="I25" s="4">
        <v>0.7</v>
      </c>
      <c r="J25" s="4" t="str">
        <f t="shared" si="0"/>
        <v>25-30</v>
      </c>
    </row>
    <row r="26" spans="1:10" x14ac:dyDescent="0.3">
      <c r="A26" s="4">
        <v>1025</v>
      </c>
      <c r="B26" s="4" t="s">
        <v>75</v>
      </c>
      <c r="C26" s="4">
        <v>42</v>
      </c>
      <c r="D26" s="4" t="s">
        <v>10</v>
      </c>
      <c r="E26" s="4" t="s">
        <v>21</v>
      </c>
      <c r="F26" s="4" t="s">
        <v>22</v>
      </c>
      <c r="G26" s="4" t="s">
        <v>76</v>
      </c>
      <c r="H26" s="4" t="s">
        <v>37</v>
      </c>
      <c r="I26" s="4">
        <v>17.3</v>
      </c>
      <c r="J26" s="4" t="str">
        <f t="shared" si="0"/>
        <v>&gt;40</v>
      </c>
    </row>
    <row r="27" spans="1:10" x14ac:dyDescent="0.3">
      <c r="A27" s="4">
        <v>1026</v>
      </c>
      <c r="B27" s="4" t="s">
        <v>77</v>
      </c>
      <c r="C27" s="4">
        <v>41</v>
      </c>
      <c r="D27" s="4" t="s">
        <v>10</v>
      </c>
      <c r="E27" s="4" t="s">
        <v>11</v>
      </c>
      <c r="F27" s="4" t="s">
        <v>47</v>
      </c>
      <c r="G27" s="4" t="s">
        <v>78</v>
      </c>
      <c r="H27" s="4" t="s">
        <v>24</v>
      </c>
      <c r="I27" s="4">
        <v>3.8</v>
      </c>
      <c r="J27" s="4" t="str">
        <f t="shared" si="0"/>
        <v>&gt;40</v>
      </c>
    </row>
    <row r="28" spans="1:10" x14ac:dyDescent="0.3">
      <c r="A28" s="4">
        <v>1027</v>
      </c>
      <c r="B28" s="4" t="s">
        <v>79</v>
      </c>
      <c r="C28" s="4">
        <v>47</v>
      </c>
      <c r="D28" s="4" t="s">
        <v>10</v>
      </c>
      <c r="E28" s="4" t="s">
        <v>34</v>
      </c>
      <c r="F28" s="4" t="s">
        <v>12</v>
      </c>
      <c r="G28" s="4" t="s">
        <v>80</v>
      </c>
      <c r="H28" s="4" t="s">
        <v>37</v>
      </c>
      <c r="I28" s="4">
        <v>11.6</v>
      </c>
      <c r="J28" s="4" t="str">
        <f t="shared" si="0"/>
        <v>&gt;40</v>
      </c>
    </row>
    <row r="29" spans="1:10" x14ac:dyDescent="0.3">
      <c r="A29" s="4">
        <v>1028</v>
      </c>
      <c r="B29" s="4" t="s">
        <v>81</v>
      </c>
      <c r="C29" s="4">
        <v>27</v>
      </c>
      <c r="D29" s="4" t="s">
        <v>16</v>
      </c>
      <c r="E29" s="4" t="s">
        <v>21</v>
      </c>
      <c r="F29" s="4" t="s">
        <v>22</v>
      </c>
      <c r="G29" s="4" t="s">
        <v>82</v>
      </c>
      <c r="H29" s="4" t="s">
        <v>24</v>
      </c>
      <c r="I29" s="4">
        <v>3.4</v>
      </c>
      <c r="J29" s="4" t="str">
        <f t="shared" si="0"/>
        <v>25-30</v>
      </c>
    </row>
    <row r="30" spans="1:10" x14ac:dyDescent="0.3">
      <c r="A30" s="4">
        <v>1029</v>
      </c>
      <c r="B30" s="4" t="s">
        <v>83</v>
      </c>
      <c r="C30" s="4">
        <v>43</v>
      </c>
      <c r="D30" s="4" t="s">
        <v>10</v>
      </c>
      <c r="E30" s="4" t="s">
        <v>21</v>
      </c>
      <c r="F30" s="4" t="s">
        <v>22</v>
      </c>
      <c r="G30" s="4" t="s">
        <v>84</v>
      </c>
      <c r="H30" s="4" t="s">
        <v>45</v>
      </c>
      <c r="I30" s="4">
        <v>3.1</v>
      </c>
      <c r="J30" s="4" t="str">
        <f t="shared" si="0"/>
        <v>&gt;40</v>
      </c>
    </row>
    <row r="31" spans="1:10" x14ac:dyDescent="0.3">
      <c r="A31" s="4">
        <v>1030</v>
      </c>
      <c r="B31" s="4" t="s">
        <v>85</v>
      </c>
      <c r="C31" s="4">
        <v>41</v>
      </c>
      <c r="D31" s="4" t="s">
        <v>16</v>
      </c>
      <c r="E31" s="4" t="s">
        <v>21</v>
      </c>
      <c r="F31" s="4" t="s">
        <v>47</v>
      </c>
      <c r="G31" s="4" t="s">
        <v>86</v>
      </c>
      <c r="H31" s="4" t="s">
        <v>19</v>
      </c>
      <c r="I31" s="4">
        <v>0.9</v>
      </c>
      <c r="J31" s="4" t="str">
        <f t="shared" si="0"/>
        <v>&gt;40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11BF-82CD-4753-B95F-281A08DC00C4}">
  <dimension ref="A3:B9"/>
  <sheetViews>
    <sheetView workbookViewId="0">
      <selection activeCell="P20" sqref="P20"/>
    </sheetView>
  </sheetViews>
  <sheetFormatPr defaultRowHeight="14.4" x14ac:dyDescent="0.3"/>
  <cols>
    <col min="1" max="1" width="15.88671875" bestFit="1" customWidth="1"/>
    <col min="2" max="2" width="19.5546875" bestFit="1" customWidth="1"/>
  </cols>
  <sheetData>
    <row r="3" spans="1:2" x14ac:dyDescent="0.3">
      <c r="A3" s="2" t="s">
        <v>87</v>
      </c>
      <c r="B3" t="s">
        <v>94</v>
      </c>
    </row>
    <row r="4" spans="1:2" x14ac:dyDescent="0.3">
      <c r="A4" s="3" t="s">
        <v>47</v>
      </c>
      <c r="B4" s="5">
        <v>4</v>
      </c>
    </row>
    <row r="5" spans="1:2" x14ac:dyDescent="0.3">
      <c r="A5" s="3" t="s">
        <v>29</v>
      </c>
      <c r="B5" s="5">
        <v>5</v>
      </c>
    </row>
    <row r="6" spans="1:2" x14ac:dyDescent="0.3">
      <c r="A6" s="3" t="s">
        <v>12</v>
      </c>
      <c r="B6" s="5">
        <v>8</v>
      </c>
    </row>
    <row r="7" spans="1:2" x14ac:dyDescent="0.3">
      <c r="A7" s="3" t="s">
        <v>35</v>
      </c>
      <c r="B7" s="5">
        <v>6</v>
      </c>
    </row>
    <row r="8" spans="1:2" x14ac:dyDescent="0.3">
      <c r="A8" s="3" t="s">
        <v>22</v>
      </c>
      <c r="B8" s="5">
        <v>7</v>
      </c>
    </row>
    <row r="9" spans="1:2" x14ac:dyDescent="0.3">
      <c r="A9" s="3" t="s">
        <v>88</v>
      </c>
      <c r="B9"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08C7-6C7C-4881-8C71-4E7B05E92E20}">
  <dimension ref="A3:B6"/>
  <sheetViews>
    <sheetView tabSelected="1" workbookViewId="0">
      <selection activeCell="B6" sqref="B6"/>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16</v>
      </c>
      <c r="B4" s="5">
        <v>15</v>
      </c>
    </row>
    <row r="5" spans="1:2" x14ac:dyDescent="0.3">
      <c r="A5" s="3" t="s">
        <v>10</v>
      </c>
      <c r="B5" s="5">
        <v>15</v>
      </c>
    </row>
    <row r="6" spans="1:2" x14ac:dyDescent="0.3">
      <c r="A6" s="3" t="s">
        <v>88</v>
      </c>
      <c r="B6"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D17D-D3D0-4170-ABA9-64B3A3DB680E}">
  <dimension ref="A3:B9"/>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39</v>
      </c>
      <c r="B4" s="5">
        <v>3</v>
      </c>
    </row>
    <row r="5" spans="1:2" x14ac:dyDescent="0.3">
      <c r="A5" s="3" t="s">
        <v>34</v>
      </c>
      <c r="B5" s="5">
        <v>6</v>
      </c>
    </row>
    <row r="6" spans="1:2" x14ac:dyDescent="0.3">
      <c r="A6" s="3" t="s">
        <v>17</v>
      </c>
      <c r="B6" s="5">
        <v>3</v>
      </c>
    </row>
    <row r="7" spans="1:2" x14ac:dyDescent="0.3">
      <c r="A7" s="3" t="s">
        <v>11</v>
      </c>
      <c r="B7" s="5">
        <v>9</v>
      </c>
    </row>
    <row r="8" spans="1:2" x14ac:dyDescent="0.3">
      <c r="A8" s="3" t="s">
        <v>21</v>
      </c>
      <c r="B8" s="5">
        <v>9</v>
      </c>
    </row>
    <row r="9" spans="1:2" x14ac:dyDescent="0.3">
      <c r="A9" s="3" t="s">
        <v>88</v>
      </c>
      <c r="B9"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1A1A-383D-4A8D-8F70-438F8AE08118}">
  <dimension ref="A3:B8"/>
  <sheetViews>
    <sheetView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90</v>
      </c>
      <c r="B4" s="5">
        <v>3</v>
      </c>
    </row>
    <row r="5" spans="1:2" x14ac:dyDescent="0.3">
      <c r="A5" s="3" t="s">
        <v>91</v>
      </c>
      <c r="B5" s="5">
        <v>15</v>
      </c>
    </row>
    <row r="6" spans="1:2" x14ac:dyDescent="0.3">
      <c r="A6" s="3" t="s">
        <v>92</v>
      </c>
      <c r="B6" s="5">
        <v>6</v>
      </c>
    </row>
    <row r="7" spans="1:2" x14ac:dyDescent="0.3">
      <c r="A7" s="3" t="s">
        <v>93</v>
      </c>
      <c r="B7" s="5">
        <v>6</v>
      </c>
    </row>
    <row r="8" spans="1:2" x14ac:dyDescent="0.3">
      <c r="A8" s="3" t="s">
        <v>88</v>
      </c>
      <c r="B8" s="5">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36F7-97C9-4C82-8C07-0130F81101EB}">
  <dimension ref="A1"/>
  <sheetViews>
    <sheetView zoomScale="85" zoomScaleNormal="85" workbookViewId="0">
      <selection activeCell="AA5" sqref="AA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HR_Data</vt:lpstr>
      <vt:lpstr>Hiring Source</vt:lpstr>
      <vt:lpstr>Gender</vt:lpstr>
      <vt:lpstr>Dept</vt:lpstr>
      <vt:lpstr>Age Group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BASHEER AHMED</cp:lastModifiedBy>
  <dcterms:created xsi:type="dcterms:W3CDTF">2025-07-27T23:36:09Z</dcterms:created>
  <dcterms:modified xsi:type="dcterms:W3CDTF">2026-02-16T11:46:17Z</dcterms:modified>
</cp:coreProperties>
</file>